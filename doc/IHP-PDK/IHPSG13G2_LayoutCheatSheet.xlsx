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150\Downloads\"/>
    </mc:Choice>
  </mc:AlternateContent>
  <xr:revisionPtr revIDLastSave="0" documentId="13_ncr:1_{C39C58B4-757F-425A-A8D0-D5641BB6CDB2}" xr6:coauthVersionLast="47" xr6:coauthVersionMax="47" xr10:uidLastSave="{00000000-0000-0000-0000-000000000000}"/>
  <bookViews>
    <workbookView xWindow="-30828" yWindow="-108" windowWidth="30936" windowHeight="16776" xr2:uid="{09A7A6F9-EBCF-4463-A1A1-35AC72E937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8" i="1"/>
  <c r="F17" i="1"/>
  <c r="F16" i="1"/>
  <c r="B18" i="1"/>
  <c r="B17" i="1"/>
  <c r="B16" i="1"/>
  <c r="B15" i="1"/>
  <c r="G13" i="1"/>
  <c r="G12" i="1"/>
  <c r="G9" i="1"/>
  <c r="G10" i="1"/>
  <c r="G11" i="1"/>
  <c r="G8" i="1"/>
  <c r="G7" i="1"/>
  <c r="F13" i="1"/>
  <c r="F12" i="1"/>
  <c r="E9" i="1"/>
  <c r="E10" i="1"/>
  <c r="E11" i="1"/>
  <c r="E12" i="1"/>
  <c r="E13" i="1"/>
  <c r="E8" i="1"/>
  <c r="E7" i="1"/>
  <c r="D7" i="1" l="1"/>
  <c r="D8" i="1"/>
  <c r="D9" i="1"/>
  <c r="D10" i="1"/>
  <c r="D11" i="1"/>
  <c r="D12" i="1"/>
  <c r="D13" i="1"/>
  <c r="C8" i="1"/>
  <c r="C9" i="1"/>
  <c r="C10" i="1"/>
  <c r="C11" i="1"/>
  <c r="C12" i="1"/>
  <c r="C13" i="1"/>
  <c r="C7" i="1"/>
  <c r="B8" i="1"/>
  <c r="B9" i="1"/>
  <c r="E22" i="1"/>
  <c r="F22" i="1" s="1"/>
  <c r="E23" i="1"/>
  <c r="F23" i="1" s="1"/>
  <c r="E24" i="1"/>
  <c r="B10" i="1" s="1"/>
  <c r="E25" i="1"/>
  <c r="F25" i="1" s="1"/>
  <c r="E26" i="1"/>
  <c r="F26" i="1" s="1"/>
  <c r="E27" i="1"/>
  <c r="F27" i="1" s="1"/>
  <c r="E21" i="1"/>
  <c r="F21" i="1" s="1"/>
  <c r="F24" i="1" l="1"/>
  <c r="B7" i="1"/>
  <c r="B13" i="1"/>
  <c r="B12" i="1"/>
  <c r="B11" i="1"/>
</calcChain>
</file>

<file path=xl/sharedStrings.xml><?xml version="1.0" encoding="utf-8"?>
<sst xmlns="http://schemas.openxmlformats.org/spreadsheetml/2006/main" count="47" uniqueCount="28">
  <si>
    <t>M1</t>
  </si>
  <si>
    <t>M2</t>
  </si>
  <si>
    <t>M3</t>
  </si>
  <si>
    <t>M4</t>
  </si>
  <si>
    <t>M5</t>
  </si>
  <si>
    <t>TM1</t>
  </si>
  <si>
    <t>TM2</t>
  </si>
  <si>
    <t>Contact</t>
  </si>
  <si>
    <t>TV1</t>
  </si>
  <si>
    <t>TV2</t>
  </si>
  <si>
    <t>Thickness (um)</t>
  </si>
  <si>
    <t>Conductivity (um2/um)</t>
  </si>
  <si>
    <t>Rsquare (Ohm/um)</t>
  </si>
  <si>
    <t>Resistance (Ohm)</t>
  </si>
  <si>
    <t>Cap Sub (fF)</t>
  </si>
  <si>
    <t>Heigth-to-Sub (um)</t>
  </si>
  <si>
    <t>max. 5fF per Node!</t>
  </si>
  <si>
    <t>Cap Side (fF)</t>
  </si>
  <si>
    <t>Cap Down (fF)</t>
  </si>
  <si>
    <t>max I W&lt;0.3um (mA)</t>
  </si>
  <si>
    <t>max I W&gt;0.3um (mA)</t>
  </si>
  <si>
    <t>Via 1/2/3/4</t>
  </si>
  <si>
    <t>max I (mA)</t>
  </si>
  <si>
    <t>Distance-SideM (um):</t>
  </si>
  <si>
    <t>min. Width (um)</t>
  </si>
  <si>
    <t>Metal Width (um):</t>
  </si>
  <si>
    <t>Metal Length (um):</t>
  </si>
  <si>
    <t>Nr of Vias: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</si>
</sst>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080B-F51D-4714-96E6-E6980076DDA4}">
  <dimension ref="A1:H27"/>
  <sheetViews>
    <sheetView tabSelected="1" workbookViewId="0">
      <selection activeCell="F14" sqref="F14"/>
    </sheetView>
  </sheetViews>
  <sheetFormatPr defaultColWidth="11.5546875" defaultRowHeight="14.4" x14ac:dyDescent="0.3"/>
  <cols>
    <col min="1" max="1" width="21.6640625" bestFit="1" customWidth="1"/>
    <col min="2" max="2" width="15.6640625" bestFit="1" customWidth="1"/>
    <col min="3" max="3" width="14.88671875" bestFit="1" customWidth="1"/>
    <col min="4" max="4" width="17.44140625" bestFit="1" customWidth="1"/>
    <col min="5" max="5" width="21" bestFit="1" customWidth="1"/>
    <col min="6" max="7" width="18.88671875" bestFit="1" customWidth="1"/>
    <col min="8" max="8" width="11.21875" bestFit="1" customWidth="1"/>
    <col min="10" max="10" width="12.88671875" bestFit="1" customWidth="1"/>
    <col min="11" max="12" width="18.88671875" bestFit="1" customWidth="1"/>
    <col min="13" max="13" width="10.5546875" bestFit="1" customWidth="1"/>
    <col min="14" max="14" width="11" bestFit="1" customWidth="1"/>
    <col min="15" max="15" width="12.44140625" bestFit="1" customWidth="1"/>
    <col min="16" max="17" width="18.109375" bestFit="1" customWidth="1"/>
  </cols>
  <sheetData>
    <row r="1" spans="1:8" x14ac:dyDescent="0.3">
      <c r="A1" t="s">
        <v>25</v>
      </c>
      <c r="B1">
        <v>0.18</v>
      </c>
      <c r="E1" t="s">
        <v>16</v>
      </c>
    </row>
    <row r="2" spans="1:8" x14ac:dyDescent="0.3">
      <c r="A2" t="s">
        <v>26</v>
      </c>
      <c r="B2">
        <v>10</v>
      </c>
    </row>
    <row r="3" spans="1:8" x14ac:dyDescent="0.3">
      <c r="A3" t="s">
        <v>23</v>
      </c>
      <c r="B3">
        <v>0.18</v>
      </c>
    </row>
    <row r="4" spans="1:8" x14ac:dyDescent="0.3">
      <c r="A4" t="s">
        <v>27</v>
      </c>
      <c r="B4">
        <v>10</v>
      </c>
    </row>
    <row r="6" spans="1:8" x14ac:dyDescent="0.3">
      <c r="A6" s="17"/>
      <c r="B6" s="11" t="s">
        <v>13</v>
      </c>
      <c r="C6" s="11" t="s">
        <v>14</v>
      </c>
      <c r="D6" s="12" t="s">
        <v>17</v>
      </c>
      <c r="E6" s="13" t="s">
        <v>18</v>
      </c>
      <c r="F6" s="12" t="s">
        <v>19</v>
      </c>
      <c r="G6" s="13" t="s">
        <v>20</v>
      </c>
    </row>
    <row r="7" spans="1:8" x14ac:dyDescent="0.3">
      <c r="A7" s="17" t="s">
        <v>0</v>
      </c>
      <c r="B7" s="4">
        <f t="shared" ref="B7:B13" si="0">$E21*$B$2/($B$1*$B21)</f>
        <v>3.5714285714285716</v>
      </c>
      <c r="C7" s="4">
        <f t="shared" ref="C7:C13" si="1">$B$1*0.000001*$B$2/$D21*3.9*0.000000000008854*1000000000000000</f>
        <v>9.7117312499999983E-2</v>
      </c>
      <c r="D7" s="5">
        <f t="shared" ref="D7:D13" si="2">$B21*0.000001*$B$2/$B$3*3.9*0.000000000008854*1000000000000000</f>
        <v>0.80571399999999982</v>
      </c>
      <c r="E7" s="3">
        <f>$B$1*0.000001*$B$2/$D$21*3.9*0.000000000008854*1000000000000000</f>
        <v>9.7117312499999983E-2</v>
      </c>
      <c r="F7" s="5">
        <v>0.36</v>
      </c>
      <c r="G7" s="3">
        <f>1*$B$1</f>
        <v>0.18</v>
      </c>
      <c r="H7" s="17" t="s">
        <v>0</v>
      </c>
    </row>
    <row r="8" spans="1:8" x14ac:dyDescent="0.3">
      <c r="A8" s="17" t="s">
        <v>1</v>
      </c>
      <c r="B8" s="4">
        <f t="shared" si="0"/>
        <v>3.0612244897959187</v>
      </c>
      <c r="C8" s="4">
        <f t="shared" si="1"/>
        <v>3.8846924999999984E-2</v>
      </c>
      <c r="D8" s="5">
        <f t="shared" si="2"/>
        <v>0.93999966666666657</v>
      </c>
      <c r="E8" s="3">
        <f t="shared" ref="E8:E13" si="3">$B$1*0.000001*$B$2/($D22-$D21)*3.9*0.000000000008854*1000000000000000</f>
        <v>6.4744874999999993E-2</v>
      </c>
      <c r="F8" s="5">
        <v>0.6</v>
      </c>
      <c r="G8" s="3">
        <f>2*$B$1</f>
        <v>0.36</v>
      </c>
      <c r="H8" s="17" t="s">
        <v>1</v>
      </c>
    </row>
    <row r="9" spans="1:8" x14ac:dyDescent="0.3">
      <c r="A9" s="17" t="s">
        <v>2</v>
      </c>
      <c r="B9" s="4">
        <f t="shared" si="0"/>
        <v>3.0612244897959187</v>
      </c>
      <c r="C9" s="4">
        <f t="shared" si="1"/>
        <v>2.3633110266159694E-2</v>
      </c>
      <c r="D9" s="5">
        <f t="shared" si="2"/>
        <v>0.93999966666666657</v>
      </c>
      <c r="E9" s="3">
        <f t="shared" si="3"/>
        <v>6.0344737864077666E-2</v>
      </c>
      <c r="F9" s="5">
        <v>0.6</v>
      </c>
      <c r="G9" s="3">
        <f t="shared" ref="G9:G11" si="4">2*$B$1</f>
        <v>0.36</v>
      </c>
      <c r="H9" s="17" t="s">
        <v>2</v>
      </c>
    </row>
    <row r="10" spans="1:8" x14ac:dyDescent="0.3">
      <c r="A10" s="17" t="s">
        <v>3</v>
      </c>
      <c r="B10" s="4">
        <f t="shared" si="0"/>
        <v>3.0612244897959187</v>
      </c>
      <c r="C10" s="4">
        <f t="shared" si="1"/>
        <v>1.6982262295081967E-2</v>
      </c>
      <c r="D10" s="5">
        <f t="shared" si="2"/>
        <v>0.93999966666666657</v>
      </c>
      <c r="E10" s="3">
        <f t="shared" si="3"/>
        <v>6.0344737864077645E-2</v>
      </c>
      <c r="F10" s="5">
        <v>0.6</v>
      </c>
      <c r="G10" s="3">
        <f t="shared" si="4"/>
        <v>0.36</v>
      </c>
      <c r="H10" s="17" t="s">
        <v>3</v>
      </c>
    </row>
    <row r="11" spans="1:8" x14ac:dyDescent="0.3">
      <c r="A11" s="17" t="s">
        <v>4</v>
      </c>
      <c r="B11" s="4">
        <f t="shared" si="0"/>
        <v>3.0612244897959187</v>
      </c>
      <c r="C11" s="4">
        <f t="shared" si="1"/>
        <v>1.3252682302771853E-2</v>
      </c>
      <c r="D11" s="5">
        <f t="shared" si="2"/>
        <v>0.93999966666666657</v>
      </c>
      <c r="E11" s="3">
        <f t="shared" si="3"/>
        <v>6.0344737864077645E-2</v>
      </c>
      <c r="F11" s="5">
        <v>0.6</v>
      </c>
      <c r="G11" s="3">
        <f t="shared" si="4"/>
        <v>0.36</v>
      </c>
      <c r="H11" s="17" t="s">
        <v>4</v>
      </c>
    </row>
    <row r="12" spans="1:8" x14ac:dyDescent="0.3">
      <c r="A12" s="17" t="s">
        <v>5</v>
      </c>
      <c r="B12" s="4">
        <f t="shared" si="0"/>
        <v>0.75000000000000011</v>
      </c>
      <c r="C12" s="4">
        <f t="shared" si="1"/>
        <v>1.0307641791044774E-2</v>
      </c>
      <c r="D12" s="5">
        <f t="shared" si="2"/>
        <v>3.8367333333333331</v>
      </c>
      <c r="E12" s="3">
        <f t="shared" si="3"/>
        <v>4.6384388059701492E-2</v>
      </c>
      <c r="F12" s="5">
        <f>15*$B$1</f>
        <v>2.6999999999999997</v>
      </c>
      <c r="G12" s="3">
        <f>15*$B$1</f>
        <v>2.6999999999999997</v>
      </c>
      <c r="H12" s="17" t="s">
        <v>5</v>
      </c>
    </row>
    <row r="13" spans="1:8" x14ac:dyDescent="0.3">
      <c r="A13" s="17" t="s">
        <v>6</v>
      </c>
      <c r="B13" s="6">
        <f t="shared" si="0"/>
        <v>0.5</v>
      </c>
      <c r="C13" s="6">
        <f t="shared" si="1"/>
        <v>5.7391578947368418E-3</v>
      </c>
      <c r="D13" s="7">
        <f t="shared" si="2"/>
        <v>5.7550999999999997</v>
      </c>
      <c r="E13" s="8">
        <f t="shared" si="3"/>
        <v>1.2948975E-2</v>
      </c>
      <c r="F13" s="7">
        <f>16*$B$1</f>
        <v>2.88</v>
      </c>
      <c r="G13" s="8">
        <f>16*$B$1</f>
        <v>2.88</v>
      </c>
      <c r="H13" s="17" t="s">
        <v>6</v>
      </c>
    </row>
    <row r="14" spans="1:8" x14ac:dyDescent="0.3">
      <c r="A14" s="18"/>
      <c r="B14" s="14" t="s">
        <v>13</v>
      </c>
      <c r="C14" s="2"/>
      <c r="D14" s="2"/>
      <c r="E14" s="2"/>
      <c r="F14" s="14" t="s">
        <v>22</v>
      </c>
      <c r="G14" s="2"/>
    </row>
    <row r="15" spans="1:8" x14ac:dyDescent="0.3">
      <c r="A15" s="18" t="s">
        <v>7</v>
      </c>
      <c r="B15" s="15">
        <f>15/$B$4</f>
        <v>1.5</v>
      </c>
      <c r="C15" s="2"/>
      <c r="D15" s="2"/>
      <c r="E15" s="2"/>
      <c r="F15" s="15">
        <f>0.3*$B$4</f>
        <v>3</v>
      </c>
      <c r="G15" s="18" t="s">
        <v>7</v>
      </c>
    </row>
    <row r="16" spans="1:8" x14ac:dyDescent="0.3">
      <c r="A16" s="18" t="s">
        <v>21</v>
      </c>
      <c r="B16" s="15">
        <f>9/$B$4</f>
        <v>0.9</v>
      </c>
      <c r="C16" s="2"/>
      <c r="D16" s="2"/>
      <c r="E16" s="2"/>
      <c r="F16" s="15">
        <f>0.4*$B$4</f>
        <v>4</v>
      </c>
      <c r="G16" s="18" t="s">
        <v>21</v>
      </c>
    </row>
    <row r="17" spans="1:7" x14ac:dyDescent="0.3">
      <c r="A17" s="18" t="s">
        <v>8</v>
      </c>
      <c r="B17" s="15">
        <f>2.2/$B$4</f>
        <v>0.22000000000000003</v>
      </c>
      <c r="C17" s="2"/>
      <c r="D17" s="2"/>
      <c r="E17" s="2"/>
      <c r="F17" s="15">
        <f>1.4*$B$4</f>
        <v>14</v>
      </c>
      <c r="G17" s="18" t="s">
        <v>8</v>
      </c>
    </row>
    <row r="18" spans="1:7" x14ac:dyDescent="0.3">
      <c r="A18" s="18" t="s">
        <v>9</v>
      </c>
      <c r="B18" s="16">
        <f>1.1/$B$4</f>
        <v>0.11000000000000001</v>
      </c>
      <c r="C18" s="2"/>
      <c r="D18" s="2"/>
      <c r="E18" s="2"/>
      <c r="F18" s="16">
        <f>10*$B$4</f>
        <v>100</v>
      </c>
      <c r="G18" s="18" t="s">
        <v>9</v>
      </c>
    </row>
    <row r="20" spans="1:7" x14ac:dyDescent="0.3">
      <c r="B20" s="10" t="s">
        <v>10</v>
      </c>
      <c r="C20" s="10" t="s">
        <v>24</v>
      </c>
      <c r="D20" s="10" t="s">
        <v>15</v>
      </c>
      <c r="E20" s="10" t="s">
        <v>11</v>
      </c>
      <c r="F20" s="10" t="s">
        <v>12</v>
      </c>
    </row>
    <row r="21" spans="1:7" x14ac:dyDescent="0.3">
      <c r="A21" t="s">
        <v>0</v>
      </c>
      <c r="B21" s="1">
        <v>0.42</v>
      </c>
      <c r="C21" s="1">
        <v>0.16</v>
      </c>
      <c r="D21" s="1">
        <v>0.64</v>
      </c>
      <c r="E21" s="1">
        <f>0.000000027*1000000</f>
        <v>2.7E-2</v>
      </c>
      <c r="F21" s="9">
        <f>E21/B21*C21</f>
        <v>1.0285714285714287E-2</v>
      </c>
    </row>
    <row r="22" spans="1:7" x14ac:dyDescent="0.3">
      <c r="A22" t="s">
        <v>1</v>
      </c>
      <c r="B22" s="1">
        <v>0.49</v>
      </c>
      <c r="C22" s="1">
        <v>0.2</v>
      </c>
      <c r="D22" s="1">
        <v>1.6</v>
      </c>
      <c r="E22" s="1">
        <f t="shared" ref="E22:E27" si="5">0.000000027*1000000</f>
        <v>2.7E-2</v>
      </c>
      <c r="F22" s="9">
        <f t="shared" ref="F22:F27" si="6">E22/B22*C22</f>
        <v>1.1020408163265306E-2</v>
      </c>
    </row>
    <row r="23" spans="1:7" x14ac:dyDescent="0.3">
      <c r="A23" t="s">
        <v>2</v>
      </c>
      <c r="B23" s="1">
        <v>0.49</v>
      </c>
      <c r="C23" s="1">
        <v>0.2</v>
      </c>
      <c r="D23" s="1">
        <v>2.63</v>
      </c>
      <c r="E23" s="1">
        <f t="shared" si="5"/>
        <v>2.7E-2</v>
      </c>
      <c r="F23" s="9">
        <f t="shared" si="6"/>
        <v>1.1020408163265306E-2</v>
      </c>
    </row>
    <row r="24" spans="1:7" x14ac:dyDescent="0.3">
      <c r="A24" t="s">
        <v>3</v>
      </c>
      <c r="B24" s="1">
        <v>0.49</v>
      </c>
      <c r="C24" s="1">
        <v>0.2</v>
      </c>
      <c r="D24" s="1">
        <v>3.66</v>
      </c>
      <c r="E24" s="1">
        <f t="shared" si="5"/>
        <v>2.7E-2</v>
      </c>
      <c r="F24" s="9">
        <f t="shared" si="6"/>
        <v>1.1020408163265306E-2</v>
      </c>
    </row>
    <row r="25" spans="1:7" x14ac:dyDescent="0.3">
      <c r="A25" t="s">
        <v>4</v>
      </c>
      <c r="B25" s="1">
        <v>0.49</v>
      </c>
      <c r="C25" s="1">
        <v>0.2</v>
      </c>
      <c r="D25" s="1">
        <v>4.6900000000000004</v>
      </c>
      <c r="E25" s="1">
        <f t="shared" si="5"/>
        <v>2.7E-2</v>
      </c>
      <c r="F25" s="9">
        <f t="shared" si="6"/>
        <v>1.1020408163265306E-2</v>
      </c>
    </row>
    <row r="26" spans="1:7" x14ac:dyDescent="0.3">
      <c r="A26" t="s">
        <v>5</v>
      </c>
      <c r="B26" s="1">
        <v>2</v>
      </c>
      <c r="C26" s="1">
        <v>0.42</v>
      </c>
      <c r="D26" s="1">
        <v>6.03</v>
      </c>
      <c r="E26" s="1">
        <f t="shared" si="5"/>
        <v>2.7E-2</v>
      </c>
      <c r="F26" s="9">
        <f t="shared" si="6"/>
        <v>5.6699999999999997E-3</v>
      </c>
    </row>
    <row r="27" spans="1:7" x14ac:dyDescent="0.3">
      <c r="A27" t="s">
        <v>6</v>
      </c>
      <c r="B27" s="1">
        <v>3</v>
      </c>
      <c r="C27" s="1">
        <v>0.2</v>
      </c>
      <c r="D27" s="1">
        <v>10.83</v>
      </c>
      <c r="E27" s="1">
        <f t="shared" si="5"/>
        <v>2.7E-2</v>
      </c>
      <c r="F27" s="9">
        <f t="shared" si="6"/>
        <v>1.8E-3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fath_local</dc:creator>
  <cp:lastModifiedBy>Simon Dorrer</cp:lastModifiedBy>
  <dcterms:created xsi:type="dcterms:W3CDTF">2025-11-05T09:04:22Z</dcterms:created>
  <dcterms:modified xsi:type="dcterms:W3CDTF">2025-11-05T14:52:40Z</dcterms:modified>
</cp:coreProperties>
</file>